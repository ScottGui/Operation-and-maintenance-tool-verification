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/>
  <mc:AlternateContent xmlns:mc="http://schemas.openxmlformats.org/markup-compatibility/2006">
    <mc:Choice Requires="x15">
      <x15ac:absPath xmlns:x15ac="http://schemas.microsoft.com/office/spreadsheetml/2010/11/ac" url="/Users/guixm/Desktop/"/>
    </mc:Choice>
  </mc:AlternateContent>
  <xr:revisionPtr revIDLastSave="0" documentId="13_ncr:1_{D5ED48C7-034F-D945-93CC-E7BC1BF35D70}" xr6:coauthVersionLast="47" xr6:coauthVersionMax="47" xr10:uidLastSave="{00000000-0000-0000-0000-000000000000}"/>
  <bookViews>
    <workbookView xWindow="30240" yWindow="600" windowWidth="38400" windowHeight="21000" xr2:uid="{00000000-000D-0000-FFFF-FFFF00000000}"/>
  </bookViews>
  <sheets>
    <sheet name="团队日报汇总明细" sheetId="2" r:id="rId1"/>
    <sheet name="工时台账" sheetId="4" r:id="rId2"/>
    <sheet name="字典" sheetId="3" r:id="rId3"/>
  </sheets>
  <definedNames>
    <definedName name="_xlnm._FilterDatabase" localSheetId="0" hidden="1">团队日报汇总明细!$A$1:$I$63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2" l="1"/>
  <c r="D67" i="2"/>
  <c r="D68" i="2"/>
  <c r="D66" i="2"/>
  <c r="G5" i="4"/>
  <c r="F5" i="4"/>
  <c r="E5" i="4"/>
  <c r="D5" i="4"/>
  <c r="C5" i="4"/>
  <c r="B5" i="4"/>
  <c r="G4" i="4"/>
  <c r="F4" i="4"/>
  <c r="E4" i="4"/>
  <c r="D4" i="4"/>
  <c r="C4" i="4"/>
  <c r="B4" i="4"/>
  <c r="G3" i="4"/>
  <c r="F3" i="4"/>
  <c r="E3" i="4"/>
  <c r="D3" i="4"/>
  <c r="C3" i="4"/>
  <c r="B3" i="4"/>
  <c r="G2" i="4"/>
  <c r="F2" i="4"/>
  <c r="E2" i="4"/>
  <c r="D2" i="4"/>
  <c r="C2" i="4"/>
  <c r="B2" i="4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<sst xmlns="http://schemas.openxmlformats.org/spreadsheetml/2006/main" count="361" uniqueCount="50">
  <si>
    <t>厂商</t>
  </si>
  <si>
    <t>人员姓名</t>
  </si>
  <si>
    <t>工作日期</t>
  </si>
  <si>
    <t>星期几</t>
  </si>
  <si>
    <t>工作方式</t>
  </si>
  <si>
    <t>工作内容</t>
  </si>
  <si>
    <t>消耗工时（小时）</t>
  </si>
  <si>
    <t>备注</t>
  </si>
  <si>
    <t>南洋</t>
  </si>
  <si>
    <t>路垚</t>
  </si>
  <si>
    <t>现场</t>
  </si>
  <si>
    <t>授权标书编写</t>
  </si>
  <si>
    <t>徐汇数据局语料调研</t>
  </si>
  <si>
    <t>远程</t>
  </si>
  <si>
    <t>内部沟通机制协同调研</t>
  </si>
  <si>
    <t>探数协同以及内部流程调研</t>
  </si>
  <si>
    <t>授权汇报材料编写</t>
  </si>
  <si>
    <t>探数协同</t>
  </si>
  <si>
    <t>沟通机制汇报</t>
  </si>
  <si>
    <t>启动会材料编写</t>
  </si>
  <si>
    <t>萧建雯</t>
  </si>
  <si>
    <t>数据授权项目常态化工作</t>
  </si>
  <si>
    <t>赵军科</t>
  </si>
  <si>
    <t>平台</t>
  </si>
  <si>
    <t>讨论小平台方案</t>
  </si>
  <si>
    <t>小平台方案汇报与需求沟通</t>
  </si>
  <si>
    <t>陆文靖</t>
  </si>
  <si>
    <t>场地管理与运营</t>
  </si>
  <si>
    <t>周末现场开会一天</t>
  </si>
  <si>
    <t>桂骁敏</t>
  </si>
  <si>
    <t>姓名</t>
  </si>
  <si>
    <t>参与启始日期</t>
  </si>
  <si>
    <t>工时填报至</t>
  </si>
  <si>
    <t>总天数</t>
  </si>
  <si>
    <t>现场天数</t>
  </si>
  <si>
    <t>远程天数</t>
  </si>
  <si>
    <t>总小时数</t>
  </si>
  <si>
    <t>数据</t>
  </si>
  <si>
    <t>安全</t>
  </si>
  <si>
    <t>运维</t>
  </si>
  <si>
    <t>上链</t>
  </si>
  <si>
    <t>创新</t>
  </si>
  <si>
    <t>数据授权项目常态化工作</t>
    <phoneticPr fontId="7" type="noConversion"/>
  </si>
  <si>
    <t>数据授权项目运维工作支撑</t>
    <phoneticPr fontId="7" type="noConversion"/>
  </si>
  <si>
    <t>周六启动会</t>
    <phoneticPr fontId="7" type="noConversion"/>
  </si>
  <si>
    <t>数据授权平台选型方案讨论</t>
    <phoneticPr fontId="7" type="noConversion"/>
  </si>
  <si>
    <t>远程</t>
    <phoneticPr fontId="7" type="noConversion"/>
  </si>
  <si>
    <t>运维与开发协同管控方案探讨</t>
    <phoneticPr fontId="7" type="noConversion"/>
  </si>
  <si>
    <t>宏优所属部门</t>
    <phoneticPr fontId="7" type="noConversion"/>
  </si>
  <si>
    <t>政企运维服务部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</si>
</sst>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 (正文)"/>
      <charset val="134"/>
    </font>
    <font>
      <sz val="11"/>
      <color theme="1"/>
      <name val="宋体"/>
      <family val="3"/>
      <charset val="134"/>
    </font>
    <font>
      <sz val="11"/>
      <color rgb="FFFF0000"/>
      <name val="等线 (正文)"/>
      <charset val="134"/>
    </font>
    <font>
      <b/>
      <sz val="11"/>
      <color theme="1"/>
      <name val="Microsoft YaHei Light"/>
      <family val="2"/>
      <charset val="134"/>
    </font>
    <font>
      <sz val="11"/>
      <color theme="1"/>
      <name val="Microsoft YaHei Light"/>
      <family val="2"/>
      <charset val="134"/>
    </font>
    <font>
      <b/>
      <sz val="11"/>
      <name val="Microsoft YaHei Light"/>
      <family val="2"/>
      <charset val="134"/>
    </font>
    <font>
      <sz val="11"/>
      <color theme="1"/>
      <name val="Microsoft YaHei UI"/>
      <family val="2"/>
      <charset val="134"/>
    </font>
    <font>
      <sz val="9"/>
      <name val="等线 (正文)"/>
      <charset val="134"/>
    </font>
    <font>
      <sz val="11"/>
      <color theme="1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I930"/>
  <sheetViews>
    <sheetView tabSelected="1" topLeftCell="A48" workbookViewId="0">
      <selection activeCell="H68" sqref="H68"/>
    </sheetView>
  </sheetViews>
  <sheetFormatPr baseColWidth="10" defaultColWidth="10" defaultRowHeight="15"/>
  <cols>
    <col min="1" max="1" width="5.1640625" customWidth="1"/>
    <col min="2" max="2" width="9.1640625" customWidth="1"/>
    <col min="3" max="3" width="13" customWidth="1"/>
    <col min="4" max="4" width="7.1640625" style="3" customWidth="1"/>
    <col min="5" max="5" width="21.83203125" style="3" customWidth="1"/>
    <col min="6" max="6" width="9.1640625" customWidth="1"/>
    <col min="7" max="7" width="25.1640625" customWidth="1"/>
    <col min="8" max="8" width="17.6640625" style="3" customWidth="1"/>
    <col min="9" max="9" width="17" customWidth="1"/>
  </cols>
  <sheetData>
    <row r="1" spans="1:9" s="8" customFormat="1" ht="17">
      <c r="A1" s="9" t="s">
        <v>0</v>
      </c>
      <c r="B1" s="9" t="s">
        <v>1</v>
      </c>
      <c r="C1" s="9" t="s">
        <v>2</v>
      </c>
      <c r="D1" s="9" t="s">
        <v>3</v>
      </c>
      <c r="E1" s="9" t="s">
        <v>48</v>
      </c>
      <c r="F1" s="9" t="s">
        <v>4</v>
      </c>
      <c r="G1" s="9" t="s">
        <v>5</v>
      </c>
      <c r="H1" s="9" t="s">
        <v>6</v>
      </c>
      <c r="I1" s="10" t="s">
        <v>7</v>
      </c>
    </row>
    <row r="2" spans="1:9">
      <c r="A2" s="11" t="s">
        <v>8</v>
      </c>
      <c r="B2" s="11" t="s">
        <v>9</v>
      </c>
      <c r="C2" s="12">
        <v>46002</v>
      </c>
      <c r="D2" s="7" t="str">
        <f>TEXT(C2,"aaaa")</f>
        <v>星期四</v>
      </c>
      <c r="E2" s="16" t="s">
        <v>49</v>
      </c>
      <c r="F2" s="11" t="s">
        <v>10</v>
      </c>
      <c r="G2" s="11" t="s">
        <v>11</v>
      </c>
      <c r="H2" s="7">
        <v>6</v>
      </c>
      <c r="I2" s="11"/>
    </row>
    <row r="3" spans="1:9">
      <c r="A3" s="11" t="s">
        <v>8</v>
      </c>
      <c r="B3" s="11" t="s">
        <v>9</v>
      </c>
      <c r="C3" s="12">
        <v>46007</v>
      </c>
      <c r="D3" s="7" t="str">
        <f t="shared" ref="D3:D63" si="0">TEXT(C3,"aaaa")</f>
        <v>星期二</v>
      </c>
      <c r="E3" s="16" t="s">
        <v>49</v>
      </c>
      <c r="F3" s="11" t="s">
        <v>10</v>
      </c>
      <c r="G3" s="11" t="s">
        <v>12</v>
      </c>
      <c r="H3" s="7">
        <v>8</v>
      </c>
      <c r="I3" s="11"/>
    </row>
    <row r="4" spans="1:9">
      <c r="A4" s="11" t="s">
        <v>8</v>
      </c>
      <c r="B4" s="11" t="s">
        <v>9</v>
      </c>
      <c r="C4" s="12">
        <v>46008</v>
      </c>
      <c r="D4" s="7" t="str">
        <f t="shared" si="0"/>
        <v>星期三</v>
      </c>
      <c r="E4" s="16" t="s">
        <v>49</v>
      </c>
      <c r="F4" s="11" t="s">
        <v>10</v>
      </c>
      <c r="G4" s="11" t="s">
        <v>12</v>
      </c>
      <c r="H4" s="7">
        <v>8</v>
      </c>
      <c r="I4" s="11"/>
    </row>
    <row r="5" spans="1:9">
      <c r="A5" s="11" t="s">
        <v>8</v>
      </c>
      <c r="B5" s="11" t="s">
        <v>9</v>
      </c>
      <c r="C5" s="12">
        <v>46022</v>
      </c>
      <c r="D5" s="7" t="str">
        <f t="shared" si="0"/>
        <v>星期三</v>
      </c>
      <c r="E5" s="16" t="s">
        <v>49</v>
      </c>
      <c r="F5" s="11" t="s">
        <v>13</v>
      </c>
      <c r="G5" s="11" t="s">
        <v>14</v>
      </c>
      <c r="H5" s="7">
        <v>2</v>
      </c>
      <c r="I5" s="11"/>
    </row>
    <row r="6" spans="1:9">
      <c r="A6" s="11" t="s">
        <v>8</v>
      </c>
      <c r="B6" s="11" t="s">
        <v>9</v>
      </c>
      <c r="C6" s="12">
        <v>46026</v>
      </c>
      <c r="D6" s="7" t="str">
        <f t="shared" si="0"/>
        <v>星期日</v>
      </c>
      <c r="E6" s="16" t="s">
        <v>49</v>
      </c>
      <c r="F6" s="11" t="s">
        <v>13</v>
      </c>
      <c r="G6" s="11" t="s">
        <v>15</v>
      </c>
      <c r="H6" s="7">
        <v>2</v>
      </c>
      <c r="I6" s="11"/>
    </row>
    <row r="7" spans="1:9">
      <c r="A7" s="11" t="s">
        <v>8</v>
      </c>
      <c r="B7" s="11" t="s">
        <v>9</v>
      </c>
      <c r="C7" s="12">
        <v>46027</v>
      </c>
      <c r="D7" s="7" t="str">
        <f t="shared" si="0"/>
        <v>星期一</v>
      </c>
      <c r="E7" s="16" t="s">
        <v>49</v>
      </c>
      <c r="F7" s="11" t="s">
        <v>13</v>
      </c>
      <c r="G7" s="11" t="s">
        <v>15</v>
      </c>
      <c r="H7" s="7">
        <v>2</v>
      </c>
      <c r="I7" s="11"/>
    </row>
    <row r="8" spans="1:9">
      <c r="A8" s="11" t="s">
        <v>8</v>
      </c>
      <c r="B8" s="11" t="s">
        <v>9</v>
      </c>
      <c r="C8" s="12">
        <v>46028</v>
      </c>
      <c r="D8" s="7" t="str">
        <f t="shared" si="0"/>
        <v>星期二</v>
      </c>
      <c r="E8" s="16" t="s">
        <v>49</v>
      </c>
      <c r="F8" s="11" t="s">
        <v>13</v>
      </c>
      <c r="G8" s="11" t="s">
        <v>15</v>
      </c>
      <c r="H8" s="7">
        <v>2</v>
      </c>
      <c r="I8" s="11"/>
    </row>
    <row r="9" spans="1:9">
      <c r="A9" s="11" t="s">
        <v>8</v>
      </c>
      <c r="B9" s="11" t="s">
        <v>9</v>
      </c>
      <c r="C9" s="12">
        <v>46029</v>
      </c>
      <c r="D9" s="7" t="str">
        <f t="shared" si="0"/>
        <v>星期三</v>
      </c>
      <c r="E9" s="16" t="s">
        <v>49</v>
      </c>
      <c r="F9" s="11" t="s">
        <v>13</v>
      </c>
      <c r="G9" s="11" t="s">
        <v>15</v>
      </c>
      <c r="H9" s="7">
        <v>2</v>
      </c>
      <c r="I9" s="11"/>
    </row>
    <row r="10" spans="1:9">
      <c r="A10" s="11" t="s">
        <v>8</v>
      </c>
      <c r="B10" s="11" t="s">
        <v>9</v>
      </c>
      <c r="C10" s="12">
        <v>46030</v>
      </c>
      <c r="D10" s="7" t="str">
        <f t="shared" si="0"/>
        <v>星期四</v>
      </c>
      <c r="E10" s="16" t="s">
        <v>49</v>
      </c>
      <c r="F10" s="11" t="s">
        <v>10</v>
      </c>
      <c r="G10" s="11" t="s">
        <v>16</v>
      </c>
      <c r="H10" s="7">
        <v>4</v>
      </c>
      <c r="I10" s="11"/>
    </row>
    <row r="11" spans="1:9">
      <c r="A11" s="11" t="s">
        <v>8</v>
      </c>
      <c r="B11" s="11" t="s">
        <v>9</v>
      </c>
      <c r="C11" s="12">
        <v>46031</v>
      </c>
      <c r="D11" s="7" t="str">
        <f t="shared" si="0"/>
        <v>星期五</v>
      </c>
      <c r="E11" s="16" t="s">
        <v>49</v>
      </c>
      <c r="F11" s="11" t="s">
        <v>13</v>
      </c>
      <c r="G11" s="11" t="s">
        <v>17</v>
      </c>
      <c r="H11" s="7">
        <v>1</v>
      </c>
      <c r="I11" s="11"/>
    </row>
    <row r="12" spans="1:9">
      <c r="A12" s="11" t="s">
        <v>8</v>
      </c>
      <c r="B12" s="11" t="s">
        <v>9</v>
      </c>
      <c r="C12" s="12">
        <v>46034</v>
      </c>
      <c r="D12" s="7" t="str">
        <f t="shared" si="0"/>
        <v>星期一</v>
      </c>
      <c r="E12" s="16" t="s">
        <v>49</v>
      </c>
      <c r="F12" s="11" t="s">
        <v>13</v>
      </c>
      <c r="G12" s="11" t="s">
        <v>17</v>
      </c>
      <c r="H12" s="7">
        <v>1</v>
      </c>
      <c r="I12" s="11"/>
    </row>
    <row r="13" spans="1:9">
      <c r="A13" s="11" t="s">
        <v>8</v>
      </c>
      <c r="B13" s="11" t="s">
        <v>9</v>
      </c>
      <c r="C13" s="12">
        <v>46035</v>
      </c>
      <c r="D13" s="7" t="str">
        <f t="shared" si="0"/>
        <v>星期二</v>
      </c>
      <c r="E13" s="16" t="s">
        <v>49</v>
      </c>
      <c r="F13" s="11" t="s">
        <v>13</v>
      </c>
      <c r="G13" s="11" t="s">
        <v>17</v>
      </c>
      <c r="H13" s="7">
        <v>1</v>
      </c>
      <c r="I13" s="11"/>
    </row>
    <row r="14" spans="1:9">
      <c r="A14" s="11" t="s">
        <v>8</v>
      </c>
      <c r="B14" s="11" t="s">
        <v>9</v>
      </c>
      <c r="C14" s="12">
        <v>46036</v>
      </c>
      <c r="D14" s="7" t="str">
        <f t="shared" si="0"/>
        <v>星期三</v>
      </c>
      <c r="E14" s="16" t="s">
        <v>49</v>
      </c>
      <c r="F14" s="11" t="s">
        <v>10</v>
      </c>
      <c r="G14" s="11" t="s">
        <v>16</v>
      </c>
      <c r="H14" s="7">
        <v>6</v>
      </c>
      <c r="I14" s="11"/>
    </row>
    <row r="15" spans="1:9">
      <c r="A15" s="11" t="s">
        <v>8</v>
      </c>
      <c r="B15" s="11" t="s">
        <v>9</v>
      </c>
      <c r="C15" s="12">
        <v>46037</v>
      </c>
      <c r="D15" s="7" t="str">
        <f t="shared" si="0"/>
        <v>星期四</v>
      </c>
      <c r="E15" s="16" t="s">
        <v>49</v>
      </c>
      <c r="F15" s="11" t="s">
        <v>13</v>
      </c>
      <c r="G15" s="11" t="s">
        <v>17</v>
      </c>
      <c r="H15" s="7">
        <v>1</v>
      </c>
      <c r="I15" s="11"/>
    </row>
    <row r="16" spans="1:9">
      <c r="A16" s="11" t="s">
        <v>8</v>
      </c>
      <c r="B16" s="11" t="s">
        <v>9</v>
      </c>
      <c r="C16" s="12">
        <v>46038</v>
      </c>
      <c r="D16" s="7" t="str">
        <f t="shared" si="0"/>
        <v>星期五</v>
      </c>
      <c r="E16" s="16" t="s">
        <v>49</v>
      </c>
      <c r="F16" s="11" t="s">
        <v>13</v>
      </c>
      <c r="G16" s="11" t="s">
        <v>17</v>
      </c>
      <c r="H16" s="7">
        <v>1</v>
      </c>
      <c r="I16" s="11"/>
    </row>
    <row r="17" spans="1:9">
      <c r="A17" s="11" t="s">
        <v>8</v>
      </c>
      <c r="B17" s="11" t="s">
        <v>9</v>
      </c>
      <c r="C17" s="12">
        <v>46041</v>
      </c>
      <c r="D17" s="7" t="str">
        <f t="shared" si="0"/>
        <v>星期一</v>
      </c>
      <c r="E17" s="16" t="s">
        <v>49</v>
      </c>
      <c r="F17" s="11" t="s">
        <v>13</v>
      </c>
      <c r="G17" s="11" t="s">
        <v>17</v>
      </c>
      <c r="H17" s="7">
        <v>1</v>
      </c>
      <c r="I17" s="11"/>
    </row>
    <row r="18" spans="1:9">
      <c r="A18" s="11" t="s">
        <v>8</v>
      </c>
      <c r="B18" s="11" t="s">
        <v>9</v>
      </c>
      <c r="C18" s="12">
        <v>46042</v>
      </c>
      <c r="D18" s="7" t="str">
        <f t="shared" si="0"/>
        <v>星期二</v>
      </c>
      <c r="E18" s="16" t="s">
        <v>49</v>
      </c>
      <c r="F18" s="11" t="s">
        <v>13</v>
      </c>
      <c r="G18" s="11" t="s">
        <v>18</v>
      </c>
      <c r="H18" s="7">
        <v>4</v>
      </c>
      <c r="I18" s="11"/>
    </row>
    <row r="19" spans="1:9">
      <c r="A19" s="11" t="s">
        <v>8</v>
      </c>
      <c r="B19" s="11" t="s">
        <v>9</v>
      </c>
      <c r="C19" s="12">
        <v>46043</v>
      </c>
      <c r="D19" s="7" t="str">
        <f t="shared" si="0"/>
        <v>星期三</v>
      </c>
      <c r="E19" s="16" t="s">
        <v>49</v>
      </c>
      <c r="F19" s="11" t="s">
        <v>13</v>
      </c>
      <c r="G19" s="11" t="s">
        <v>17</v>
      </c>
      <c r="H19" s="7">
        <v>1</v>
      </c>
      <c r="I19" s="11"/>
    </row>
    <row r="20" spans="1:9">
      <c r="A20" s="11" t="s">
        <v>8</v>
      </c>
      <c r="B20" s="11" t="s">
        <v>9</v>
      </c>
      <c r="C20" s="12">
        <v>46044</v>
      </c>
      <c r="D20" s="7" t="str">
        <f t="shared" si="0"/>
        <v>星期四</v>
      </c>
      <c r="E20" s="16" t="s">
        <v>49</v>
      </c>
      <c r="F20" s="11" t="s">
        <v>13</v>
      </c>
      <c r="G20" s="11" t="s">
        <v>17</v>
      </c>
      <c r="H20" s="7">
        <v>1</v>
      </c>
      <c r="I20" s="11"/>
    </row>
    <row r="21" spans="1:9">
      <c r="A21" s="11" t="s">
        <v>8</v>
      </c>
      <c r="B21" s="11" t="s">
        <v>9</v>
      </c>
      <c r="C21" s="12">
        <v>46045</v>
      </c>
      <c r="D21" s="7" t="str">
        <f t="shared" si="0"/>
        <v>星期五</v>
      </c>
      <c r="E21" s="16" t="s">
        <v>49</v>
      </c>
      <c r="F21" s="11" t="s">
        <v>13</v>
      </c>
      <c r="G21" s="11" t="s">
        <v>17</v>
      </c>
      <c r="H21" s="7">
        <v>1</v>
      </c>
      <c r="I21" s="11"/>
    </row>
    <row r="22" spans="1:9">
      <c r="A22" s="11" t="s">
        <v>8</v>
      </c>
      <c r="B22" s="11" t="s">
        <v>9</v>
      </c>
      <c r="C22" s="12">
        <v>46048</v>
      </c>
      <c r="D22" s="7" t="str">
        <f t="shared" si="0"/>
        <v>星期一</v>
      </c>
      <c r="E22" s="16" t="s">
        <v>49</v>
      </c>
      <c r="F22" s="11" t="s">
        <v>13</v>
      </c>
      <c r="G22" s="11" t="s">
        <v>17</v>
      </c>
      <c r="H22" s="7">
        <v>1</v>
      </c>
      <c r="I22" s="11"/>
    </row>
    <row r="23" spans="1:9">
      <c r="A23" s="11" t="s">
        <v>8</v>
      </c>
      <c r="B23" s="11" t="s">
        <v>9</v>
      </c>
      <c r="C23" s="12">
        <v>46049</v>
      </c>
      <c r="D23" s="7" t="str">
        <f t="shared" si="0"/>
        <v>星期二</v>
      </c>
      <c r="E23" s="16" t="s">
        <v>49</v>
      </c>
      <c r="F23" s="11" t="s">
        <v>13</v>
      </c>
      <c r="G23" s="11" t="s">
        <v>17</v>
      </c>
      <c r="H23" s="7">
        <v>1</v>
      </c>
      <c r="I23" s="11"/>
    </row>
    <row r="24" spans="1:9">
      <c r="A24" s="11" t="s">
        <v>8</v>
      </c>
      <c r="B24" s="11" t="s">
        <v>9</v>
      </c>
      <c r="C24" s="12">
        <v>46051</v>
      </c>
      <c r="D24" s="7" t="str">
        <f t="shared" si="0"/>
        <v>星期四</v>
      </c>
      <c r="E24" s="16" t="s">
        <v>49</v>
      </c>
      <c r="F24" s="11" t="s">
        <v>13</v>
      </c>
      <c r="G24" s="11" t="s">
        <v>17</v>
      </c>
      <c r="H24" s="7">
        <v>1</v>
      </c>
      <c r="I24" s="11"/>
    </row>
    <row r="25" spans="1:9">
      <c r="A25" s="11" t="s">
        <v>8</v>
      </c>
      <c r="B25" s="11" t="s">
        <v>9</v>
      </c>
      <c r="C25" s="12">
        <v>46052</v>
      </c>
      <c r="D25" s="7" t="str">
        <f t="shared" si="0"/>
        <v>星期五</v>
      </c>
      <c r="E25" s="16" t="s">
        <v>49</v>
      </c>
      <c r="F25" s="11" t="s">
        <v>13</v>
      </c>
      <c r="G25" s="11" t="s">
        <v>17</v>
      </c>
      <c r="H25" s="7">
        <v>1</v>
      </c>
      <c r="I25" s="11"/>
    </row>
    <row r="26" spans="1:9">
      <c r="A26" s="11" t="s">
        <v>8</v>
      </c>
      <c r="B26" s="11" t="s">
        <v>9</v>
      </c>
      <c r="C26" s="12">
        <v>46055</v>
      </c>
      <c r="D26" s="7" t="str">
        <f t="shared" si="0"/>
        <v>星期一</v>
      </c>
      <c r="E26" s="16" t="s">
        <v>49</v>
      </c>
      <c r="F26" s="11" t="s">
        <v>13</v>
      </c>
      <c r="G26" s="11" t="s">
        <v>19</v>
      </c>
      <c r="H26" s="7">
        <v>2</v>
      </c>
      <c r="I26" s="11"/>
    </row>
    <row r="27" spans="1:9">
      <c r="A27" s="11" t="s">
        <v>8</v>
      </c>
      <c r="B27" s="11" t="s">
        <v>9</v>
      </c>
      <c r="C27" s="12">
        <v>46056</v>
      </c>
      <c r="D27" s="7" t="str">
        <f t="shared" si="0"/>
        <v>星期二</v>
      </c>
      <c r="E27" s="16" t="s">
        <v>49</v>
      </c>
      <c r="F27" s="11" t="s">
        <v>13</v>
      </c>
      <c r="G27" s="11" t="s">
        <v>19</v>
      </c>
      <c r="H27" s="7">
        <v>2</v>
      </c>
      <c r="I27" s="11"/>
    </row>
    <row r="28" spans="1:9">
      <c r="A28" s="11" t="s">
        <v>8</v>
      </c>
      <c r="B28" s="11" t="s">
        <v>9</v>
      </c>
      <c r="C28" s="12">
        <v>46057</v>
      </c>
      <c r="D28" s="7" t="str">
        <f t="shared" si="0"/>
        <v>星期三</v>
      </c>
      <c r="E28" s="16" t="s">
        <v>49</v>
      </c>
      <c r="F28" s="11" t="s">
        <v>13</v>
      </c>
      <c r="G28" s="11" t="s">
        <v>19</v>
      </c>
      <c r="H28" s="7">
        <v>3</v>
      </c>
      <c r="I28" s="11"/>
    </row>
    <row r="29" spans="1:9">
      <c r="A29" s="11" t="s">
        <v>8</v>
      </c>
      <c r="B29" s="11" t="s">
        <v>9</v>
      </c>
      <c r="C29" s="12">
        <v>46058</v>
      </c>
      <c r="D29" s="7" t="str">
        <f t="shared" si="0"/>
        <v>星期四</v>
      </c>
      <c r="E29" s="16" t="s">
        <v>49</v>
      </c>
      <c r="F29" s="11" t="s">
        <v>13</v>
      </c>
      <c r="G29" s="11" t="s">
        <v>19</v>
      </c>
      <c r="H29" s="7">
        <v>3</v>
      </c>
      <c r="I29" s="11"/>
    </row>
    <row r="30" spans="1:9">
      <c r="A30" s="11" t="s">
        <v>8</v>
      </c>
      <c r="B30" s="11" t="s">
        <v>9</v>
      </c>
      <c r="C30" s="12">
        <v>46059</v>
      </c>
      <c r="D30" s="7" t="str">
        <f t="shared" si="0"/>
        <v>星期五</v>
      </c>
      <c r="E30" s="16" t="s">
        <v>49</v>
      </c>
      <c r="F30" s="11" t="s">
        <v>10</v>
      </c>
      <c r="G30" s="11" t="s">
        <v>19</v>
      </c>
      <c r="H30" s="7">
        <v>4</v>
      </c>
      <c r="I30" s="11"/>
    </row>
    <row r="31" spans="1:9">
      <c r="A31" s="11" t="s">
        <v>8</v>
      </c>
      <c r="B31" s="11" t="s">
        <v>20</v>
      </c>
      <c r="C31" s="12">
        <v>46026</v>
      </c>
      <c r="D31" s="7" t="str">
        <f t="shared" si="0"/>
        <v>星期日</v>
      </c>
      <c r="E31" s="16" t="s">
        <v>49</v>
      </c>
      <c r="F31" s="11" t="s">
        <v>10</v>
      </c>
      <c r="G31" s="11" t="s">
        <v>21</v>
      </c>
      <c r="H31" s="7">
        <v>8</v>
      </c>
      <c r="I31" s="11"/>
    </row>
    <row r="32" spans="1:9">
      <c r="A32" s="11" t="s">
        <v>8</v>
      </c>
      <c r="B32" s="11" t="s">
        <v>20</v>
      </c>
      <c r="C32" s="12">
        <v>46027</v>
      </c>
      <c r="D32" s="7" t="str">
        <f t="shared" si="0"/>
        <v>星期一</v>
      </c>
      <c r="E32" s="16" t="s">
        <v>49</v>
      </c>
      <c r="F32" s="11" t="s">
        <v>10</v>
      </c>
      <c r="G32" s="11" t="s">
        <v>21</v>
      </c>
      <c r="H32" s="7">
        <v>8</v>
      </c>
      <c r="I32" s="11"/>
    </row>
    <row r="33" spans="1:9">
      <c r="A33" s="11" t="s">
        <v>8</v>
      </c>
      <c r="B33" s="11" t="s">
        <v>20</v>
      </c>
      <c r="C33" s="12">
        <v>46028</v>
      </c>
      <c r="D33" s="7" t="str">
        <f t="shared" si="0"/>
        <v>星期二</v>
      </c>
      <c r="E33" s="16" t="s">
        <v>49</v>
      </c>
      <c r="F33" s="11" t="s">
        <v>10</v>
      </c>
      <c r="G33" s="11" t="s">
        <v>21</v>
      </c>
      <c r="H33" s="7">
        <v>8</v>
      </c>
      <c r="I33" s="11"/>
    </row>
    <row r="34" spans="1:9">
      <c r="A34" s="11" t="s">
        <v>8</v>
      </c>
      <c r="B34" s="11" t="s">
        <v>20</v>
      </c>
      <c r="C34" s="12">
        <v>46029</v>
      </c>
      <c r="D34" s="7" t="str">
        <f t="shared" si="0"/>
        <v>星期三</v>
      </c>
      <c r="E34" s="16" t="s">
        <v>49</v>
      </c>
      <c r="F34" s="11" t="s">
        <v>10</v>
      </c>
      <c r="G34" s="11" t="s">
        <v>21</v>
      </c>
      <c r="H34" s="7">
        <v>8</v>
      </c>
      <c r="I34" s="11"/>
    </row>
    <row r="35" spans="1:9">
      <c r="A35" s="11" t="s">
        <v>8</v>
      </c>
      <c r="B35" s="11" t="s">
        <v>20</v>
      </c>
      <c r="C35" s="12">
        <v>46030</v>
      </c>
      <c r="D35" s="7" t="str">
        <f t="shared" si="0"/>
        <v>星期四</v>
      </c>
      <c r="E35" s="16" t="s">
        <v>49</v>
      </c>
      <c r="F35" s="11" t="s">
        <v>10</v>
      </c>
      <c r="G35" s="11" t="s">
        <v>21</v>
      </c>
      <c r="H35" s="7">
        <v>8</v>
      </c>
      <c r="I35" s="11"/>
    </row>
    <row r="36" spans="1:9">
      <c r="A36" s="11" t="s">
        <v>8</v>
      </c>
      <c r="B36" s="11" t="s">
        <v>20</v>
      </c>
      <c r="C36" s="12">
        <v>46031</v>
      </c>
      <c r="D36" s="7" t="str">
        <f t="shared" si="0"/>
        <v>星期五</v>
      </c>
      <c r="E36" s="16" t="s">
        <v>49</v>
      </c>
      <c r="F36" s="11" t="s">
        <v>10</v>
      </c>
      <c r="G36" s="11" t="s">
        <v>21</v>
      </c>
      <c r="H36" s="7">
        <v>8</v>
      </c>
      <c r="I36" s="11"/>
    </row>
    <row r="37" spans="1:9">
      <c r="A37" s="11" t="s">
        <v>8</v>
      </c>
      <c r="B37" s="11" t="s">
        <v>20</v>
      </c>
      <c r="C37" s="12">
        <v>46034</v>
      </c>
      <c r="D37" s="7" t="str">
        <f t="shared" si="0"/>
        <v>星期一</v>
      </c>
      <c r="E37" s="16" t="s">
        <v>49</v>
      </c>
      <c r="F37" s="11" t="s">
        <v>10</v>
      </c>
      <c r="G37" s="11" t="s">
        <v>21</v>
      </c>
      <c r="H37" s="7">
        <v>8</v>
      </c>
      <c r="I37" s="11"/>
    </row>
    <row r="38" spans="1:9">
      <c r="A38" s="11" t="s">
        <v>8</v>
      </c>
      <c r="B38" s="11" t="s">
        <v>20</v>
      </c>
      <c r="C38" s="12">
        <v>46035</v>
      </c>
      <c r="D38" s="7" t="str">
        <f t="shared" si="0"/>
        <v>星期二</v>
      </c>
      <c r="E38" s="16" t="s">
        <v>49</v>
      </c>
      <c r="F38" s="11" t="s">
        <v>10</v>
      </c>
      <c r="G38" s="11" t="s">
        <v>21</v>
      </c>
      <c r="H38" s="7">
        <v>8</v>
      </c>
      <c r="I38" s="11"/>
    </row>
    <row r="39" spans="1:9">
      <c r="A39" s="11" t="s">
        <v>8</v>
      </c>
      <c r="B39" s="11" t="s">
        <v>20</v>
      </c>
      <c r="C39" s="12">
        <v>46036</v>
      </c>
      <c r="D39" s="7" t="str">
        <f t="shared" si="0"/>
        <v>星期三</v>
      </c>
      <c r="E39" s="16" t="s">
        <v>49</v>
      </c>
      <c r="F39" s="11" t="s">
        <v>10</v>
      </c>
      <c r="G39" s="11" t="s">
        <v>21</v>
      </c>
      <c r="H39" s="7">
        <v>8</v>
      </c>
      <c r="I39" s="11"/>
    </row>
    <row r="40" spans="1:9">
      <c r="A40" s="11" t="s">
        <v>8</v>
      </c>
      <c r="B40" s="11" t="s">
        <v>20</v>
      </c>
      <c r="C40" s="12">
        <v>46037</v>
      </c>
      <c r="D40" s="7" t="str">
        <f t="shared" si="0"/>
        <v>星期四</v>
      </c>
      <c r="E40" s="16" t="s">
        <v>49</v>
      </c>
      <c r="F40" s="11" t="s">
        <v>10</v>
      </c>
      <c r="G40" s="11" t="s">
        <v>21</v>
      </c>
      <c r="H40" s="7">
        <v>8</v>
      </c>
      <c r="I40" s="11"/>
    </row>
    <row r="41" spans="1:9">
      <c r="A41" s="11" t="s">
        <v>8</v>
      </c>
      <c r="B41" s="11" t="s">
        <v>20</v>
      </c>
      <c r="C41" s="12">
        <v>46038</v>
      </c>
      <c r="D41" s="7" t="str">
        <f t="shared" si="0"/>
        <v>星期五</v>
      </c>
      <c r="E41" s="16" t="s">
        <v>49</v>
      </c>
      <c r="F41" s="11" t="s">
        <v>10</v>
      </c>
      <c r="G41" s="11" t="s">
        <v>21</v>
      </c>
      <c r="H41" s="7">
        <v>8</v>
      </c>
      <c r="I41" s="11"/>
    </row>
    <row r="42" spans="1:9">
      <c r="A42" s="11" t="s">
        <v>8</v>
      </c>
      <c r="B42" s="11" t="s">
        <v>20</v>
      </c>
      <c r="C42" s="12">
        <v>46041</v>
      </c>
      <c r="D42" s="7" t="str">
        <f t="shared" si="0"/>
        <v>星期一</v>
      </c>
      <c r="E42" s="16" t="s">
        <v>49</v>
      </c>
      <c r="F42" s="11" t="s">
        <v>10</v>
      </c>
      <c r="G42" s="11" t="s">
        <v>21</v>
      </c>
      <c r="H42" s="7">
        <v>8</v>
      </c>
      <c r="I42" s="11"/>
    </row>
    <row r="43" spans="1:9">
      <c r="A43" s="11" t="s">
        <v>8</v>
      </c>
      <c r="B43" s="11" t="s">
        <v>20</v>
      </c>
      <c r="C43" s="12">
        <v>46042</v>
      </c>
      <c r="D43" s="7" t="str">
        <f t="shared" si="0"/>
        <v>星期二</v>
      </c>
      <c r="E43" s="16" t="s">
        <v>49</v>
      </c>
      <c r="F43" s="11" t="s">
        <v>10</v>
      </c>
      <c r="G43" s="11" t="s">
        <v>21</v>
      </c>
      <c r="H43" s="7">
        <v>8</v>
      </c>
      <c r="I43" s="11"/>
    </row>
    <row r="44" spans="1:9">
      <c r="A44" s="11" t="s">
        <v>8</v>
      </c>
      <c r="B44" s="11" t="s">
        <v>20</v>
      </c>
      <c r="C44" s="12">
        <v>46043</v>
      </c>
      <c r="D44" s="7" t="str">
        <f t="shared" si="0"/>
        <v>星期三</v>
      </c>
      <c r="E44" s="16" t="s">
        <v>49</v>
      </c>
      <c r="F44" s="11" t="s">
        <v>10</v>
      </c>
      <c r="G44" s="11" t="s">
        <v>21</v>
      </c>
      <c r="H44" s="7">
        <v>8</v>
      </c>
      <c r="I44" s="11"/>
    </row>
    <row r="45" spans="1:9">
      <c r="A45" s="11" t="s">
        <v>8</v>
      </c>
      <c r="B45" s="11" t="s">
        <v>20</v>
      </c>
      <c r="C45" s="12">
        <v>46044</v>
      </c>
      <c r="D45" s="7" t="str">
        <f t="shared" si="0"/>
        <v>星期四</v>
      </c>
      <c r="E45" s="16" t="s">
        <v>49</v>
      </c>
      <c r="F45" s="11" t="s">
        <v>10</v>
      </c>
      <c r="G45" s="11" t="s">
        <v>21</v>
      </c>
      <c r="H45" s="7">
        <v>8</v>
      </c>
      <c r="I45" s="11"/>
    </row>
    <row r="46" spans="1:9">
      <c r="A46" s="11" t="s">
        <v>8</v>
      </c>
      <c r="B46" s="11" t="s">
        <v>20</v>
      </c>
      <c r="C46" s="12">
        <v>46045</v>
      </c>
      <c r="D46" s="7" t="str">
        <f t="shared" si="0"/>
        <v>星期五</v>
      </c>
      <c r="E46" s="16" t="s">
        <v>49</v>
      </c>
      <c r="F46" s="11" t="s">
        <v>10</v>
      </c>
      <c r="G46" s="11" t="s">
        <v>21</v>
      </c>
      <c r="H46" s="7">
        <v>8</v>
      </c>
      <c r="I46" s="11"/>
    </row>
    <row r="47" spans="1:9">
      <c r="A47" s="11" t="s">
        <v>8</v>
      </c>
      <c r="B47" s="11" t="s">
        <v>20</v>
      </c>
      <c r="C47" s="12">
        <v>46048</v>
      </c>
      <c r="D47" s="7" t="str">
        <f t="shared" si="0"/>
        <v>星期一</v>
      </c>
      <c r="E47" s="16" t="s">
        <v>49</v>
      </c>
      <c r="F47" s="11" t="s">
        <v>10</v>
      </c>
      <c r="G47" s="11" t="s">
        <v>21</v>
      </c>
      <c r="H47" s="7">
        <v>8</v>
      </c>
      <c r="I47" s="11"/>
    </row>
    <row r="48" spans="1:9">
      <c r="A48" s="11" t="s">
        <v>8</v>
      </c>
      <c r="B48" s="11" t="s">
        <v>20</v>
      </c>
      <c r="C48" s="12">
        <v>46049</v>
      </c>
      <c r="D48" s="7" t="str">
        <f t="shared" si="0"/>
        <v>星期二</v>
      </c>
      <c r="E48" s="16" t="s">
        <v>49</v>
      </c>
      <c r="F48" s="11" t="s">
        <v>10</v>
      </c>
      <c r="G48" s="11" t="s">
        <v>21</v>
      </c>
      <c r="H48" s="7">
        <v>8</v>
      </c>
      <c r="I48" s="11"/>
    </row>
    <row r="49" spans="1:9">
      <c r="A49" s="11" t="s">
        <v>8</v>
      </c>
      <c r="B49" s="11" t="s">
        <v>20</v>
      </c>
      <c r="C49" s="12">
        <v>46051</v>
      </c>
      <c r="D49" s="7" t="str">
        <f t="shared" si="0"/>
        <v>星期四</v>
      </c>
      <c r="E49" s="16" t="s">
        <v>49</v>
      </c>
      <c r="F49" s="11" t="s">
        <v>10</v>
      </c>
      <c r="G49" s="11" t="s">
        <v>21</v>
      </c>
      <c r="H49" s="7">
        <v>8</v>
      </c>
      <c r="I49" s="11"/>
    </row>
    <row r="50" spans="1:9">
      <c r="A50" s="11" t="s">
        <v>8</v>
      </c>
      <c r="B50" s="11" t="s">
        <v>20</v>
      </c>
      <c r="C50" s="12">
        <v>46052</v>
      </c>
      <c r="D50" s="7" t="str">
        <f t="shared" si="0"/>
        <v>星期五</v>
      </c>
      <c r="E50" s="16" t="s">
        <v>49</v>
      </c>
      <c r="F50" s="11" t="s">
        <v>10</v>
      </c>
      <c r="G50" s="11" t="s">
        <v>21</v>
      </c>
      <c r="H50" s="7">
        <v>8</v>
      </c>
      <c r="I50" s="11"/>
    </row>
    <row r="51" spans="1:9">
      <c r="A51" s="11" t="s">
        <v>8</v>
      </c>
      <c r="B51" s="11" t="s">
        <v>20</v>
      </c>
      <c r="C51" s="12">
        <v>46055</v>
      </c>
      <c r="D51" s="7" t="str">
        <f t="shared" si="0"/>
        <v>星期一</v>
      </c>
      <c r="E51" s="16" t="s">
        <v>49</v>
      </c>
      <c r="F51" s="11" t="s">
        <v>10</v>
      </c>
      <c r="G51" s="11" t="s">
        <v>21</v>
      </c>
      <c r="H51" s="7">
        <v>8</v>
      </c>
      <c r="I51" s="11"/>
    </row>
    <row r="52" spans="1:9">
      <c r="A52" s="11" t="s">
        <v>8</v>
      </c>
      <c r="B52" s="11" t="s">
        <v>20</v>
      </c>
      <c r="C52" s="12">
        <v>46056</v>
      </c>
      <c r="D52" s="7" t="str">
        <f t="shared" si="0"/>
        <v>星期二</v>
      </c>
      <c r="E52" s="16" t="s">
        <v>49</v>
      </c>
      <c r="F52" s="11" t="s">
        <v>10</v>
      </c>
      <c r="G52" s="11" t="s">
        <v>21</v>
      </c>
      <c r="H52" s="7">
        <v>8</v>
      </c>
      <c r="I52" s="11"/>
    </row>
    <row r="53" spans="1:9">
      <c r="A53" s="11" t="s">
        <v>8</v>
      </c>
      <c r="B53" s="11" t="s">
        <v>20</v>
      </c>
      <c r="C53" s="12">
        <v>46057</v>
      </c>
      <c r="D53" s="7" t="str">
        <f t="shared" si="0"/>
        <v>星期三</v>
      </c>
      <c r="E53" s="16" t="s">
        <v>49</v>
      </c>
      <c r="F53" s="11" t="s">
        <v>10</v>
      </c>
      <c r="G53" s="11" t="s">
        <v>21</v>
      </c>
      <c r="H53" s="7">
        <v>8</v>
      </c>
      <c r="I53" s="11"/>
    </row>
    <row r="54" spans="1:9">
      <c r="A54" s="11" t="s">
        <v>8</v>
      </c>
      <c r="B54" s="11" t="s">
        <v>20</v>
      </c>
      <c r="C54" s="12">
        <v>46058</v>
      </c>
      <c r="D54" s="7" t="str">
        <f t="shared" si="0"/>
        <v>星期四</v>
      </c>
      <c r="E54" s="16" t="s">
        <v>49</v>
      </c>
      <c r="F54" s="11" t="s">
        <v>10</v>
      </c>
      <c r="G54" s="11" t="s">
        <v>21</v>
      </c>
      <c r="H54" s="7">
        <v>8</v>
      </c>
      <c r="I54" s="11"/>
    </row>
    <row r="55" spans="1:9">
      <c r="A55" s="11" t="s">
        <v>8</v>
      </c>
      <c r="B55" s="11" t="s">
        <v>20</v>
      </c>
      <c r="C55" s="12">
        <v>46059</v>
      </c>
      <c r="D55" s="7" t="str">
        <f t="shared" si="0"/>
        <v>星期五</v>
      </c>
      <c r="E55" s="16" t="s">
        <v>49</v>
      </c>
      <c r="F55" s="11" t="s">
        <v>10</v>
      </c>
      <c r="G55" s="15" t="s">
        <v>42</v>
      </c>
      <c r="H55" s="7">
        <v>8</v>
      </c>
      <c r="I55" s="11"/>
    </row>
    <row r="56" spans="1:9">
      <c r="A56" s="11" t="s">
        <v>8</v>
      </c>
      <c r="B56" s="11" t="s">
        <v>22</v>
      </c>
      <c r="C56" s="12">
        <v>46056</v>
      </c>
      <c r="D56" s="7" t="str">
        <f t="shared" si="0"/>
        <v>星期二</v>
      </c>
      <c r="E56" s="16" t="s">
        <v>49</v>
      </c>
      <c r="F56" s="11" t="s">
        <v>10</v>
      </c>
      <c r="G56" s="11" t="s">
        <v>24</v>
      </c>
      <c r="H56" s="7">
        <v>4</v>
      </c>
      <c r="I56" s="11"/>
    </row>
    <row r="57" spans="1:9">
      <c r="A57" s="11" t="s">
        <v>8</v>
      </c>
      <c r="B57" s="11" t="s">
        <v>22</v>
      </c>
      <c r="C57" s="12">
        <v>46057</v>
      </c>
      <c r="D57" s="7" t="str">
        <f t="shared" si="0"/>
        <v>星期三</v>
      </c>
      <c r="E57" s="16" t="s">
        <v>49</v>
      </c>
      <c r="F57" s="11" t="s">
        <v>10</v>
      </c>
      <c r="G57" s="11" t="s">
        <v>25</v>
      </c>
      <c r="H57" s="7">
        <v>4</v>
      </c>
      <c r="I57" s="11"/>
    </row>
    <row r="58" spans="1:9">
      <c r="A58" s="11" t="s">
        <v>8</v>
      </c>
      <c r="B58" s="11" t="s">
        <v>26</v>
      </c>
      <c r="C58" s="12">
        <v>46055</v>
      </c>
      <c r="D58" s="7" t="str">
        <f t="shared" si="0"/>
        <v>星期一</v>
      </c>
      <c r="E58" s="16" t="s">
        <v>49</v>
      </c>
      <c r="F58" s="11" t="s">
        <v>10</v>
      </c>
      <c r="G58" s="11" t="s">
        <v>27</v>
      </c>
      <c r="H58" s="7">
        <v>8</v>
      </c>
      <c r="I58" s="11"/>
    </row>
    <row r="59" spans="1:9">
      <c r="A59" s="11" t="s">
        <v>8</v>
      </c>
      <c r="B59" s="11" t="s">
        <v>26</v>
      </c>
      <c r="C59" s="12">
        <v>46056</v>
      </c>
      <c r="D59" s="7" t="str">
        <f t="shared" si="0"/>
        <v>星期二</v>
      </c>
      <c r="E59" s="16" t="s">
        <v>49</v>
      </c>
      <c r="F59" s="11" t="s">
        <v>10</v>
      </c>
      <c r="G59" s="11" t="s">
        <v>27</v>
      </c>
      <c r="H59" s="7">
        <v>8</v>
      </c>
      <c r="I59" s="11"/>
    </row>
    <row r="60" spans="1:9">
      <c r="A60" s="11" t="s">
        <v>8</v>
      </c>
      <c r="B60" s="11" t="s">
        <v>26</v>
      </c>
      <c r="C60" s="12">
        <v>46057</v>
      </c>
      <c r="D60" s="7" t="str">
        <f t="shared" si="0"/>
        <v>星期三</v>
      </c>
      <c r="E60" s="16" t="s">
        <v>49</v>
      </c>
      <c r="F60" s="11" t="s">
        <v>10</v>
      </c>
      <c r="G60" s="11" t="s">
        <v>27</v>
      </c>
      <c r="H60" s="7">
        <v>8</v>
      </c>
      <c r="I60" s="11"/>
    </row>
    <row r="61" spans="1:9">
      <c r="A61" s="11" t="s">
        <v>8</v>
      </c>
      <c r="B61" s="11" t="s">
        <v>26</v>
      </c>
      <c r="C61" s="12">
        <v>46058</v>
      </c>
      <c r="D61" s="7" t="str">
        <f t="shared" si="0"/>
        <v>星期四</v>
      </c>
      <c r="E61" s="16" t="s">
        <v>49</v>
      </c>
      <c r="F61" s="11" t="s">
        <v>10</v>
      </c>
      <c r="G61" s="11" t="s">
        <v>27</v>
      </c>
      <c r="H61" s="7">
        <v>8</v>
      </c>
      <c r="I61" s="11"/>
    </row>
    <row r="62" spans="1:9">
      <c r="A62" s="11" t="s">
        <v>8</v>
      </c>
      <c r="B62" s="11" t="s">
        <v>26</v>
      </c>
      <c r="C62" s="12">
        <v>46059</v>
      </c>
      <c r="D62" s="7" t="str">
        <f t="shared" si="0"/>
        <v>星期五</v>
      </c>
      <c r="E62" s="16" t="s">
        <v>49</v>
      </c>
      <c r="F62" s="11" t="s">
        <v>10</v>
      </c>
      <c r="G62" s="11" t="s">
        <v>27</v>
      </c>
      <c r="H62" s="7">
        <v>8</v>
      </c>
      <c r="I62" s="11"/>
    </row>
    <row r="63" spans="1:9">
      <c r="A63" s="11" t="s">
        <v>8</v>
      </c>
      <c r="B63" s="11" t="s">
        <v>26</v>
      </c>
      <c r="C63" s="12">
        <v>46060</v>
      </c>
      <c r="D63" s="13" t="str">
        <f t="shared" si="0"/>
        <v>星期六</v>
      </c>
      <c r="E63" s="16" t="s">
        <v>49</v>
      </c>
      <c r="F63" s="11" t="s">
        <v>10</v>
      </c>
      <c r="G63" s="11" t="s">
        <v>27</v>
      </c>
      <c r="H63" s="7">
        <v>8</v>
      </c>
      <c r="I63" s="11" t="s">
        <v>28</v>
      </c>
    </row>
    <row r="64" spans="1:9">
      <c r="D64"/>
      <c r="E64"/>
      <c r="H64"/>
    </row>
    <row r="65" spans="1:9">
      <c r="D65"/>
      <c r="E65"/>
      <c r="H65"/>
    </row>
    <row r="66" spans="1:9">
      <c r="A66" s="11" t="s">
        <v>8</v>
      </c>
      <c r="B66" s="11" t="s">
        <v>29</v>
      </c>
      <c r="C66" s="12">
        <v>46060</v>
      </c>
      <c r="D66" s="13" t="str">
        <f t="shared" ref="D66" si="1">TEXT(C66,"aaaa")</f>
        <v>星期六</v>
      </c>
      <c r="E66" s="16" t="s">
        <v>49</v>
      </c>
      <c r="F66" s="11" t="s">
        <v>10</v>
      </c>
      <c r="G66" s="15" t="s">
        <v>43</v>
      </c>
      <c r="H66" s="7">
        <v>8</v>
      </c>
      <c r="I66" s="15" t="s">
        <v>44</v>
      </c>
    </row>
    <row r="67" spans="1:9">
      <c r="A67" s="11" t="s">
        <v>8</v>
      </c>
      <c r="B67" s="11" t="s">
        <v>29</v>
      </c>
      <c r="C67" s="12">
        <v>46063</v>
      </c>
      <c r="D67" s="13" t="str">
        <f>TEXT(C67,"aaaa")</f>
        <v>星期二</v>
      </c>
      <c r="E67" s="16" t="s">
        <v>49</v>
      </c>
      <c r="F67" s="11" t="s">
        <v>10</v>
      </c>
      <c r="G67" s="15" t="s">
        <v>45</v>
      </c>
      <c r="H67" s="7">
        <v>8</v>
      </c>
      <c r="I67" s="15"/>
    </row>
    <row r="68" spans="1:9">
      <c r="A68" s="11" t="s">
        <v>8</v>
      </c>
      <c r="B68" s="11" t="s">
        <v>29</v>
      </c>
      <c r="C68" s="12">
        <v>46064</v>
      </c>
      <c r="D68" s="13" t="str">
        <f t="shared" ref="D68:D69" si="2">TEXT(C68,"aaaa")</f>
        <v>星期三</v>
      </c>
      <c r="E68" s="16" t="s">
        <v>49</v>
      </c>
      <c r="F68" s="11" t="s">
        <v>10</v>
      </c>
      <c r="G68" s="15" t="s">
        <v>45</v>
      </c>
      <c r="H68" s="7">
        <v>8</v>
      </c>
      <c r="I68" s="15"/>
    </row>
    <row r="69" spans="1:9">
      <c r="A69" s="11" t="s">
        <v>8</v>
      </c>
      <c r="B69" s="11" t="s">
        <v>29</v>
      </c>
      <c r="C69" s="12">
        <v>46065</v>
      </c>
      <c r="D69" s="13" t="str">
        <f t="shared" si="2"/>
        <v>星期四</v>
      </c>
      <c r="E69" s="16" t="s">
        <v>49</v>
      </c>
      <c r="F69" s="11" t="s">
        <v>46</v>
      </c>
      <c r="G69" s="15" t="s">
        <v>47</v>
      </c>
      <c r="H69" s="7">
        <v>4</v>
      </c>
      <c r="I69" s="11"/>
    </row>
    <row r="930" spans="5:5">
      <c r="E930" s="14"/>
    </row>
  </sheetData>
  <phoneticPr fontId="7" type="noConversion"/>
  <dataValidations count="1">
    <dataValidation type="list" allowBlank="1" showInputMessage="1" showErrorMessage="1" sqref="A930:A1048576 H930:H1048576 E930:F1048576" xr:uid="{00000000-0002-0000-0000-000000000000}">
      <formula1>#REF!</formula1>
    </dataValidation>
  </dataValidation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C41" sqref="C41"/>
    </sheetView>
  </sheetViews>
  <sheetFormatPr baseColWidth="10" defaultColWidth="9" defaultRowHeight="15"/>
  <cols>
    <col min="1" max="1" width="7" customWidth="1"/>
    <col min="2" max="2" width="12.83203125" style="3" customWidth="1"/>
    <col min="3" max="3" width="10.83203125" style="3" customWidth="1"/>
    <col min="4" max="4" width="7.1640625" customWidth="1"/>
    <col min="7" max="7" width="10" customWidth="1"/>
  </cols>
  <sheetData>
    <row r="1" spans="1:7" ht="17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</row>
    <row r="2" spans="1:7" ht="17">
      <c r="A2" s="5" t="s">
        <v>9</v>
      </c>
      <c r="B2" s="6">
        <f>_xlfn.MINIFS(团队日报汇总明细!C:C,团队日报汇总明细!B:B,工时台账!A2)</f>
        <v>46002</v>
      </c>
      <c r="C2" s="6">
        <f>_xlfn.MAXIFS(团队日报汇总明细!C:C,团队日报汇总明细!B:B,工时台账!A2)</f>
        <v>46059</v>
      </c>
      <c r="D2" s="7">
        <f>COUNTIF(团队日报汇总明细!B:B,工时台账!A2)</f>
        <v>29</v>
      </c>
      <c r="E2" s="7">
        <f>COUNTIFS(团队日报汇总明细!B:B,工时台账!A2,团队日报汇总明细!F:F,"现场")</f>
        <v>6</v>
      </c>
      <c r="F2" s="7">
        <f>COUNTIFS(团队日报汇总明细!B:B,工时台账!A2,团队日报汇总明细!F:F,"远程")</f>
        <v>23</v>
      </c>
      <c r="G2" s="7">
        <f>SUMIF(团队日报汇总明细!B:B,工时台账!A2,团队日报汇总明细!H:H)</f>
        <v>73</v>
      </c>
    </row>
    <row r="3" spans="1:7" ht="17">
      <c r="A3" s="5" t="s">
        <v>20</v>
      </c>
      <c r="B3" s="6">
        <f>_xlfn.MINIFS(团队日报汇总明细!C:C,团队日报汇总明细!B:B,工时台账!A3)</f>
        <v>46026</v>
      </c>
      <c r="C3" s="6">
        <f>_xlfn.MAXIFS(团队日报汇总明细!C:C,团队日报汇总明细!B:B,工时台账!A3)</f>
        <v>46059</v>
      </c>
      <c r="D3" s="7">
        <f>COUNTIF(团队日报汇总明细!B:B,工时台账!A3)</f>
        <v>25</v>
      </c>
      <c r="E3" s="7">
        <f>COUNTIFS(团队日报汇总明细!B:B,工时台账!A3,团队日报汇总明细!F:F,"现场")</f>
        <v>25</v>
      </c>
      <c r="F3" s="7">
        <f>COUNTIFS(团队日报汇总明细!B:B,工时台账!A3,团队日报汇总明细!F:F,"远程")</f>
        <v>0</v>
      </c>
      <c r="G3" s="7">
        <f>SUMIF(团队日报汇总明细!B:B,工时台账!A3,团队日报汇总明细!H:H)</f>
        <v>200</v>
      </c>
    </row>
    <row r="4" spans="1:7" ht="17">
      <c r="A4" s="5" t="s">
        <v>22</v>
      </c>
      <c r="B4" s="6">
        <f>_xlfn.MINIFS(团队日报汇总明细!C:C,团队日报汇总明细!B:B,工时台账!A4)</f>
        <v>46056</v>
      </c>
      <c r="C4" s="6">
        <f>_xlfn.MAXIFS(团队日报汇总明细!C:C,团队日报汇总明细!B:B,工时台账!A4)</f>
        <v>46057</v>
      </c>
      <c r="D4" s="7">
        <f>COUNTIF(团队日报汇总明细!B:B,工时台账!A4)</f>
        <v>2</v>
      </c>
      <c r="E4" s="7">
        <f>COUNTIFS(团队日报汇总明细!B:B,工时台账!A4,团队日报汇总明细!F:F,"现场")</f>
        <v>2</v>
      </c>
      <c r="F4" s="7">
        <f>COUNTIFS(团队日报汇总明细!B:B,工时台账!A4,团队日报汇总明细!F:F,"远程")</f>
        <v>0</v>
      </c>
      <c r="G4" s="7">
        <f>SUMIF(团队日报汇总明细!B:B,工时台账!A4,团队日报汇总明细!H:H)</f>
        <v>8</v>
      </c>
    </row>
    <row r="5" spans="1:7" ht="17">
      <c r="A5" s="5" t="s">
        <v>26</v>
      </c>
      <c r="B5" s="6">
        <f>_xlfn.MINIFS(团队日报汇总明细!C:C,团队日报汇总明细!B:B,工时台账!A5)</f>
        <v>46055</v>
      </c>
      <c r="C5" s="6">
        <f>_xlfn.MAXIFS(团队日报汇总明细!C:C,团队日报汇总明细!B:B,工时台账!A5)</f>
        <v>46060</v>
      </c>
      <c r="D5" s="7">
        <f>COUNTIF(团队日报汇总明细!B:B,工时台账!A5)</f>
        <v>6</v>
      </c>
      <c r="E5" s="7">
        <f>COUNTIFS(团队日报汇总明细!B:B,工时台账!A5,团队日报汇总明细!F:F,"现场")</f>
        <v>6</v>
      </c>
      <c r="F5" s="7">
        <f>COUNTIFS(团队日报汇总明细!B:B,工时台账!A5,团队日报汇总明细!F:F,"远程")</f>
        <v>0</v>
      </c>
      <c r="G5" s="7">
        <f>SUMIF(团队日报汇总明细!B:B,工时台账!A5,团队日报汇总明细!H:H)</f>
        <v>48</v>
      </c>
    </row>
    <row r="6" spans="1:7">
      <c r="A6" s="6"/>
      <c r="B6" s="6"/>
      <c r="C6" s="6"/>
      <c r="D6" s="6"/>
      <c r="E6" s="6"/>
      <c r="F6" s="6"/>
      <c r="G6" s="6"/>
    </row>
    <row r="7" spans="1:7">
      <c r="A7" s="6"/>
      <c r="B7" s="6"/>
      <c r="C7" s="6"/>
      <c r="D7" s="6"/>
      <c r="E7" s="6"/>
      <c r="F7" s="6"/>
      <c r="G7" s="6"/>
    </row>
    <row r="8" spans="1:7">
      <c r="A8" s="6"/>
      <c r="B8" s="6"/>
      <c r="C8" s="6"/>
      <c r="D8" s="6"/>
      <c r="E8" s="6"/>
      <c r="F8" s="6"/>
      <c r="G8" s="6"/>
    </row>
    <row r="9" spans="1:7">
      <c r="A9" s="6"/>
      <c r="B9" s="6"/>
      <c r="C9" s="6"/>
      <c r="D9" s="6"/>
      <c r="E9" s="6"/>
      <c r="F9" s="6"/>
      <c r="G9" s="6"/>
    </row>
    <row r="10" spans="1:7">
      <c r="A10" s="6"/>
      <c r="B10" s="6"/>
      <c r="C10" s="6"/>
      <c r="D10" s="6"/>
      <c r="E10" s="6"/>
      <c r="F10" s="6"/>
      <c r="G10" s="6"/>
    </row>
    <row r="11" spans="1:7">
      <c r="A11" s="6"/>
      <c r="B11" s="6"/>
      <c r="C11" s="6"/>
      <c r="D11" s="6"/>
      <c r="E11" s="6"/>
      <c r="F11" s="6"/>
      <c r="G11" s="6"/>
    </row>
    <row r="12" spans="1:7">
      <c r="A12" s="6"/>
      <c r="B12" s="6"/>
      <c r="C12" s="6"/>
      <c r="D12" s="6"/>
      <c r="E12" s="6"/>
      <c r="F12" s="6"/>
      <c r="G12" s="6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topLeftCell="A4" workbookViewId="0">
      <selection activeCell="C39" sqref="C39:C40"/>
    </sheetView>
  </sheetViews>
  <sheetFormatPr baseColWidth="10" defaultColWidth="9" defaultRowHeight="15"/>
  <sheetData>
    <row r="1" spans="1:3">
      <c r="A1" s="1" t="s">
        <v>8</v>
      </c>
      <c r="B1" s="1" t="s">
        <v>37</v>
      </c>
      <c r="C1" s="1" t="s">
        <v>10</v>
      </c>
    </row>
    <row r="2" spans="1:3">
      <c r="B2" s="1" t="s">
        <v>38</v>
      </c>
      <c r="C2" s="1" t="s">
        <v>13</v>
      </c>
    </row>
    <row r="3" spans="1:3">
      <c r="B3" s="1" t="s">
        <v>23</v>
      </c>
    </row>
    <row r="4" spans="1:3">
      <c r="B4" s="1" t="s">
        <v>39</v>
      </c>
    </row>
    <row r="5" spans="1:3">
      <c r="B5" s="1" t="s">
        <v>40</v>
      </c>
    </row>
    <row r="6" spans="1:3">
      <c r="B6" s="1" t="s">
        <v>41</v>
      </c>
    </row>
    <row r="35" spans="5:5">
      <c r="E35" s="2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团队日报汇总明细</vt:lpstr>
      <vt:lpstr>工时台账</vt:lpstr>
      <vt:lpstr>字典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admin</cp:lastModifiedBy>
  <dcterms:created xsi:type="dcterms:W3CDTF">2006-09-16T00:00:00Z</dcterms:created>
  <dcterms:modified xsi:type="dcterms:W3CDTF">2026-03-10T01:51:58Z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56A98F53E0A54F68851E7D15F629C5AF_13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